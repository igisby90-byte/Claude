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  <sheet name="Capex" sheetId="2" state="visible" r:id="rId2"/>
    <sheet name="DRAM" sheetId="3" state="visible" r:id="rId3"/>
    <sheet name="Derived" sheetId="4" state="visible" r:id="rId4"/>
    <sheet name="DFII10" sheetId="5" state="visible" r:id="rId5"/>
    <sheet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0B0B0B"/>
    </font>
    <font>
      <b val="1"/>
      <color rgb="002A78D6"/>
      <sz val="13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0E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빅테크 4사 분기 capex (명목, $B)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'Capex'!B1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'Capex'!$A$2:$A$13</f>
            </numRef>
          </cat>
          <val>
            <numRef>
              <f>'Capex'!$B$2:$B$13</f>
            </numRef>
          </val>
        </ser>
        <ser>
          <idx val="1"/>
          <order val="1"/>
          <tx>
            <strRef>
              <f>'Capex'!C1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'Capex'!$A$2:$A$13</f>
            </numRef>
          </cat>
          <val>
            <numRef>
              <f>'Capex'!$C$2:$C$13</f>
            </numRef>
          </val>
        </ser>
        <ser>
          <idx val="2"/>
          <order val="2"/>
          <tx>
            <strRef>
              <f>'Capex'!D1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'Capex'!$A$2:$A$13</f>
            </numRef>
          </cat>
          <val>
            <numRef>
              <f>'Capex'!$D$2:$D$13</f>
            </numRef>
          </val>
        </ser>
        <ser>
          <idx val="3"/>
          <order val="3"/>
          <tx>
            <strRef>
              <f>'Capex'!E1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'Capex'!$A$2:$A$13</f>
            </numRef>
          </cat>
          <val>
            <numRef>
              <f>'Capex'!$E$2:$E$13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서버 DRAM 계약가 지수 (2025Q1=100, 하단·중간·상단)</a:t>
            </a:r>
          </a:p>
        </rich>
      </tx>
    </title>
    <plotArea>
      <lineChart>
        <grouping val="standard"/>
        <ser>
          <idx val="0"/>
          <order val="0"/>
          <tx>
            <strRef>
              <f>'DRAM'!E1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'DRAM'!$A$2:$A$9</f>
            </numRef>
          </cat>
          <val>
            <numRef>
              <f>'DRAM'!$E$2:$E$9</f>
            </numRef>
          </val>
          <smooth val="0"/>
        </ser>
        <ser>
          <idx val="1"/>
          <order val="1"/>
          <tx>
            <strRef>
              <f>'DRAM'!F1</f>
            </strRef>
          </tx>
          <spPr>
            <a:ln w="12700">
              <a:solidFill>
                <a:srgbClr val="898781"/>
              </a:solidFill>
              <a:prstDash val="dash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'DRAM'!$A$2:$A$9</f>
            </numRef>
          </cat>
          <val>
            <numRef>
              <f>'DRAM'!$F$2:$F$9</f>
            </numRef>
          </val>
          <smooth val="0"/>
        </ser>
        <ser>
          <idx val="2"/>
          <order val="2"/>
          <tx>
            <strRef>
              <f>'DRAM'!G1</f>
            </strRef>
          </tx>
          <spPr>
            <a:ln w="12700">
              <a:solidFill>
                <a:srgbClr val="898781"/>
              </a:solidFill>
              <a:prstDash val="dash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'DRAM'!$A$2:$A$9</f>
            </numRef>
          </cat>
          <val>
            <numRef>
              <f>'DRAM'!$G$2:$G$9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메모리: 명목 지출 vs 실질 구매량 (지수, 2025Q1=100)</a:t>
            </a:r>
          </a:p>
        </rich>
      </tx>
    </title>
    <plotArea>
      <lineChart>
        <grouping val="standard"/>
        <ser>
          <idx val="0"/>
          <order val="0"/>
          <tx>
            <strRef>
              <f>'Derived'!G1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'Derived'!$A$2:$A$13</f>
            </numRef>
          </cat>
          <val>
            <numRef>
              <f>'Derived'!$G$2:$G$13</f>
            </numRef>
          </val>
          <smooth val="0"/>
        </ser>
        <ser>
          <idx val="1"/>
          <order val="1"/>
          <tx>
            <strRef>
              <f>'Derived'!H1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'Derived'!$A$2:$A$13</f>
            </numRef>
          </cat>
          <val>
            <numRef>
              <f>'Derived'!$H$2:$H$13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총 capex YoY: 명목 vs 실질 (%) — 간격이 착시 폭</a:t>
            </a:r>
          </a:p>
        </rich>
      </tx>
    </title>
    <plotArea>
      <lineChart>
        <grouping val="standard"/>
        <ser>
          <idx val="0"/>
          <order val="0"/>
          <tx>
            <strRef>
              <f>'Derived'!I1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'Derived'!$A$2:$A$13</f>
            </numRef>
          </cat>
          <val>
            <numRef>
              <f>'Derived'!$I$2:$I$13</f>
            </numRef>
          </val>
          <smooth val="0"/>
        </ser>
        <ser>
          <idx val="1"/>
          <order val="1"/>
          <tx>
            <strRef>
              <f>'Derived'!J1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'Derived'!$A$2:$A$13</f>
            </numRef>
          </cat>
          <val>
            <numRef>
              <f>'Derived'!$J$2:$J$13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DFII10 — 10년 TIPS 실질금리 (%, 월말)</a:t>
            </a:r>
          </a:p>
        </rich>
      </tx>
    </title>
    <plotArea>
      <lineChart>
        <grouping val="standard"/>
        <ser>
          <idx val="0"/>
          <order val="0"/>
          <tx>
            <strRef>
              <f>'DFII10'!B1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'DFII10'!$A$2:$A$32</f>
            </numRef>
          </cat>
          <val>
            <numRef>
              <f>'DFII10'!$B$2:$B$32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61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61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21</row>
      <rowOff>0</rowOff>
    </from>
    <ext cx="612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40</row>
      <rowOff>0</rowOff>
    </from>
    <ext cx="1224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7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메모</t>
        </is>
      </c>
    </row>
    <row r="2">
      <c r="A2" t="inlineStr">
        <is>
          <t>메모리·부품 비중 (%)</t>
        </is>
      </c>
      <c r="B2" s="2" t="n">
        <v>13</v>
      </c>
      <c r="C2" t="inlineStr">
        <is>
          <t>MSFT 자백치 $25B/$190B=13.2% — 이 셀만 바꾸면 Derived 전체 재계산</t>
        </is>
      </c>
    </row>
    <row r="3">
      <c r="A3" t="inlineStr">
        <is>
          <t>보수적 하단 (%)</t>
        </is>
      </c>
      <c r="B3" t="n">
        <v>8</v>
      </c>
      <c r="C3" t="inlineStr">
        <is>
          <t>Meta 상향폭 기준 약 7~8%</t>
        </is>
      </c>
    </row>
    <row r="4">
      <c r="A4" t="inlineStr">
        <is>
          <t>DRAM 지수 기준분기</t>
        </is>
      </c>
      <c r="B4" t="inlineStr">
        <is>
          <t>2025Q1</t>
        </is>
      </c>
      <c r="C4">
        <f>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46" customWidth="1" min="8" max="8"/>
  </cols>
  <sheetData>
    <row r="1">
      <c r="A1" s="1" t="inlineStr">
        <is>
          <t>분기</t>
        </is>
      </c>
      <c r="B1" s="1" t="inlineStr">
        <is>
          <t>MSFT</t>
        </is>
      </c>
      <c r="C1" s="1" t="inlineStr">
        <is>
          <t>GOOGL</t>
        </is>
      </c>
      <c r="D1" s="1" t="inlineStr">
        <is>
          <t>META</t>
        </is>
      </c>
      <c r="E1" s="1" t="inlineStr">
        <is>
          <t>AMZN</t>
        </is>
      </c>
      <c r="F1" s="1" t="inlineStr">
        <is>
          <t>합계($B)</t>
        </is>
      </c>
      <c r="G1" s="1" t="inlineStr">
        <is>
          <t>상태</t>
        </is>
      </c>
      <c r="H1" s="1" t="inlineStr">
        <is>
          <t>메모</t>
        </is>
      </c>
    </row>
    <row r="2">
      <c r="A2" t="inlineStr">
        <is>
          <t>2024Q1</t>
        </is>
      </c>
      <c r="B2" s="3" t="n">
        <v>14</v>
      </c>
      <c r="C2" s="3" t="n">
        <v>12</v>
      </c>
      <c r="D2" s="3" t="n">
        <v>6.7</v>
      </c>
      <c r="E2" s="3" t="n">
        <v>15</v>
      </c>
      <c r="F2" s="3">
        <f>SUM(B2:E2)</f>
        <v/>
      </c>
      <c r="G2" t="inlineStr">
        <is>
          <t>actual~</t>
        </is>
      </c>
      <c r="H2" t="inlineStr">
        <is>
          <t>보고치 근사(리스 포함 기준 차이 있음 — 확인 후 보정)</t>
        </is>
      </c>
    </row>
    <row r="3">
      <c r="A3" t="inlineStr">
        <is>
          <t>2024Q2</t>
        </is>
      </c>
      <c r="B3" s="3" t="n">
        <v>19</v>
      </c>
      <c r="C3" s="3" t="n">
        <v>13.2</v>
      </c>
      <c r="D3" s="3" t="n">
        <v>8.5</v>
      </c>
      <c r="E3" s="3" t="n">
        <v>17.6</v>
      </c>
      <c r="F3" s="3">
        <f>SUM(B3:E3)</f>
        <v/>
      </c>
      <c r="G3" t="inlineStr">
        <is>
          <t>actual~</t>
        </is>
      </c>
      <c r="H3" t="inlineStr"/>
    </row>
    <row r="4">
      <c r="A4" t="inlineStr">
        <is>
          <t>2024Q3</t>
        </is>
      </c>
      <c r="B4" s="3" t="n">
        <v>20</v>
      </c>
      <c r="C4" s="3" t="n">
        <v>13.1</v>
      </c>
      <c r="D4" s="3" t="n">
        <v>9.199999999999999</v>
      </c>
      <c r="E4" s="3" t="n">
        <v>22.6</v>
      </c>
      <c r="F4" s="3">
        <f>SUM(B4:E4)</f>
        <v/>
      </c>
      <c r="G4" t="inlineStr">
        <is>
          <t>actual~</t>
        </is>
      </c>
      <c r="H4" t="inlineStr"/>
    </row>
    <row r="5">
      <c r="A5" t="inlineStr">
        <is>
          <t>2024Q4</t>
        </is>
      </c>
      <c r="B5" s="3" t="n">
        <v>22.6</v>
      </c>
      <c r="C5" s="3" t="n">
        <v>14.3</v>
      </c>
      <c r="D5" s="3" t="n">
        <v>14.8</v>
      </c>
      <c r="E5" s="3" t="n">
        <v>27.8</v>
      </c>
      <c r="F5" s="3">
        <f>SUM(B5:E5)</f>
        <v/>
      </c>
      <c r="G5" t="inlineStr">
        <is>
          <t>actual~</t>
        </is>
      </c>
      <c r="H5" t="inlineStr"/>
    </row>
    <row r="6">
      <c r="A6" t="inlineStr">
        <is>
          <t>2025Q1</t>
        </is>
      </c>
      <c r="B6" s="3" t="n">
        <v>21.4</v>
      </c>
      <c r="C6" s="3" t="n">
        <v>17.2</v>
      </c>
      <c r="D6" s="3" t="n">
        <v>13.7</v>
      </c>
      <c r="E6" s="3" t="n">
        <v>25</v>
      </c>
      <c r="F6" s="3">
        <f>SUM(B6:E6)</f>
        <v/>
      </c>
      <c r="G6" t="inlineStr">
        <is>
          <t>actual~</t>
        </is>
      </c>
      <c r="H6" t="inlineStr"/>
    </row>
    <row r="7">
      <c r="A7" t="inlineStr">
        <is>
          <t>2025Q2</t>
        </is>
      </c>
      <c r="B7" s="3" t="n">
        <v>24.2</v>
      </c>
      <c r="C7" s="3" t="n">
        <v>22.4</v>
      </c>
      <c r="D7" s="3" t="n">
        <v>17</v>
      </c>
      <c r="E7" s="3" t="n">
        <v>31.4</v>
      </c>
      <c r="F7" s="3">
        <f>SUM(B7:E7)</f>
        <v/>
      </c>
      <c r="G7" t="inlineStr">
        <is>
          <t>actual~</t>
        </is>
      </c>
      <c r="H7" t="inlineStr"/>
    </row>
    <row r="8">
      <c r="A8" t="inlineStr">
        <is>
          <t>2025Q3</t>
        </is>
      </c>
      <c r="B8" s="3" t="n">
        <v>34.9</v>
      </c>
      <c r="C8" s="3" t="n">
        <v>24</v>
      </c>
      <c r="D8" s="3" t="n">
        <v>19.4</v>
      </c>
      <c r="E8" s="3" t="n">
        <v>34.2</v>
      </c>
      <c r="F8" s="3">
        <f>SUM(B8:E8)</f>
        <v/>
      </c>
      <c r="G8" t="inlineStr">
        <is>
          <t>actual~</t>
        </is>
      </c>
      <c r="H8" t="inlineStr">
        <is>
          <t>MSFT 급증(FY26Q1)</t>
        </is>
      </c>
    </row>
    <row r="9">
      <c r="A9" t="inlineStr">
        <is>
          <t>2025Q4</t>
        </is>
      </c>
      <c r="B9" s="3" t="n">
        <v>37</v>
      </c>
      <c r="C9" s="3" t="n">
        <v>28</v>
      </c>
      <c r="D9" s="3" t="n">
        <v>21.5</v>
      </c>
      <c r="E9" s="3" t="n">
        <v>39</v>
      </c>
      <c r="F9" s="3">
        <f>SUM(B9:E9)</f>
        <v/>
      </c>
      <c r="G9" t="inlineStr">
        <is>
          <t>estimate</t>
        </is>
      </c>
      <c r="H9" t="inlineStr">
        <is>
          <t>실적 발표치로 교체 필요</t>
        </is>
      </c>
    </row>
    <row r="10">
      <c r="A10" t="inlineStr">
        <is>
          <t>2026Q1</t>
        </is>
      </c>
      <c r="B10" s="3" t="n">
        <v>39.9</v>
      </c>
      <c r="C10" s="3" t="n">
        <v>37.8</v>
      </c>
      <c r="D10" s="3" t="n">
        <v>29.4</v>
      </c>
      <c r="E10" s="3" t="n">
        <v>45.2</v>
      </c>
      <c r="F10" s="3">
        <f>SUM(B10:E10)</f>
        <v/>
      </c>
      <c r="G10" t="inlineStr">
        <is>
          <t>estimate</t>
        </is>
      </c>
      <c r="H10" t="inlineStr">
        <is>
          <t>연간 가이던스(190/180/140/215≈725) x 램프 0.21</t>
        </is>
      </c>
    </row>
    <row r="11">
      <c r="A11" t="inlineStr">
        <is>
          <t>2026Q2</t>
        </is>
      </c>
      <c r="B11" s="3" t="n">
        <v>45.6</v>
      </c>
      <c r="C11" s="3" t="n">
        <v>43.2</v>
      </c>
      <c r="D11" s="3" t="n">
        <v>33.6</v>
      </c>
      <c r="E11" s="3" t="n">
        <v>51.6</v>
      </c>
      <c r="F11" s="3">
        <f>SUM(B11:E11)</f>
        <v/>
      </c>
      <c r="G11" t="inlineStr">
        <is>
          <t>estimate</t>
        </is>
      </c>
      <c r="H11" t="inlineStr">
        <is>
          <t>7/22~ 실적 시즌에 실제치로 교체</t>
        </is>
      </c>
    </row>
    <row r="12">
      <c r="A12" t="inlineStr">
        <is>
          <t>2026Q3</t>
        </is>
      </c>
      <c r="B12" s="3" t="n">
        <v>49.4</v>
      </c>
      <c r="C12" s="3" t="n">
        <v>46.8</v>
      </c>
      <c r="D12" s="3" t="n">
        <v>36.4</v>
      </c>
      <c r="E12" s="3" t="n">
        <v>55.9</v>
      </c>
      <c r="F12" s="3">
        <f>SUM(B12:E12)</f>
        <v/>
      </c>
      <c r="G12" t="inlineStr">
        <is>
          <t>estimate</t>
        </is>
      </c>
      <c r="H12" t="inlineStr">
        <is>
          <t>램프 0.26</t>
        </is>
      </c>
    </row>
    <row r="13">
      <c r="A13" t="inlineStr">
        <is>
          <t>2026Q4</t>
        </is>
      </c>
      <c r="B13" s="3" t="n">
        <v>55.1</v>
      </c>
      <c r="C13" s="3" t="n">
        <v>52.2</v>
      </c>
      <c r="D13" s="3" t="n">
        <v>40.6</v>
      </c>
      <c r="E13" s="3" t="n">
        <v>62.4</v>
      </c>
      <c r="F13" s="3">
        <f>SUM(B13:E13)</f>
        <v/>
      </c>
      <c r="G13" t="inlineStr">
        <is>
          <t>estimate</t>
        </is>
      </c>
      <c r="H13" t="inlineStr">
        <is>
          <t>램프 0.29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22" customWidth="1" min="8" max="8"/>
  </cols>
  <sheetData>
    <row r="1">
      <c r="A1" s="1" t="inlineStr">
        <is>
          <t>분기</t>
        </is>
      </c>
      <c r="B1" s="1" t="inlineStr">
        <is>
          <t>QoQ 하단%</t>
        </is>
      </c>
      <c r="C1" s="1" t="inlineStr">
        <is>
          <t>QoQ 중간%</t>
        </is>
      </c>
      <c r="D1" s="1" t="inlineStr">
        <is>
          <t>QoQ 상단%</t>
        </is>
      </c>
      <c r="E1" s="1" t="inlineStr">
        <is>
          <t>지수(중간)</t>
        </is>
      </c>
      <c r="F1" s="1" t="inlineStr">
        <is>
          <t>지수(하단)</t>
        </is>
      </c>
      <c r="G1" s="1" t="inlineStr">
        <is>
          <t>지수(상단)</t>
        </is>
      </c>
      <c r="H1" s="1" t="inlineStr">
        <is>
          <t>상태</t>
        </is>
      </c>
    </row>
    <row r="2">
      <c r="A2" t="inlineStr">
        <is>
          <t>2025Q1</t>
        </is>
      </c>
      <c r="B2" t="n">
        <v>0</v>
      </c>
      <c r="C2" t="n">
        <v>0</v>
      </c>
      <c r="D2" t="n">
        <v>0</v>
      </c>
      <c r="E2" s="4">
        <f>100*(1+C2/100)</f>
        <v/>
      </c>
      <c r="F2" s="4">
        <f>100*(1+B2/100)</f>
        <v/>
      </c>
      <c r="G2" s="4">
        <f>100*(1+D2/100)</f>
        <v/>
      </c>
      <c r="H2" t="inlineStr">
        <is>
          <t>base</t>
        </is>
      </c>
    </row>
    <row r="3">
      <c r="A3" t="inlineStr">
        <is>
          <t>2025Q2</t>
        </is>
      </c>
      <c r="B3" t="n">
        <v>3</v>
      </c>
      <c r="C3" t="n">
        <v>5.5</v>
      </c>
      <c r="D3" t="n">
        <v>8</v>
      </c>
      <c r="E3" s="4">
        <f>E2*(1+C3/100)</f>
        <v/>
      </c>
      <c r="F3" s="4">
        <f>F2*(1+B3/100)</f>
        <v/>
      </c>
      <c r="G3" s="4">
        <f>G2*(1+D3/100)</f>
        <v/>
      </c>
      <c r="H3" t="inlineStr">
        <is>
          <t>actual~</t>
        </is>
      </c>
    </row>
    <row r="4">
      <c r="A4" t="inlineStr">
        <is>
          <t>2025Q3</t>
        </is>
      </c>
      <c r="B4" t="n">
        <v>10</v>
      </c>
      <c r="C4" t="n">
        <v>12.5</v>
      </c>
      <c r="D4" t="n">
        <v>15</v>
      </c>
      <c r="E4" s="4">
        <f>E3*(1+C4/100)</f>
        <v/>
      </c>
      <c r="F4" s="4">
        <f>F3*(1+B4/100)</f>
        <v/>
      </c>
      <c r="G4" s="4">
        <f>G3*(1+D4/100)</f>
        <v/>
      </c>
      <c r="H4" t="inlineStr">
        <is>
          <t>actual~</t>
        </is>
      </c>
    </row>
    <row r="5">
      <c r="A5" t="inlineStr">
        <is>
          <t>2025Q4</t>
        </is>
      </c>
      <c r="B5" t="n">
        <v>45</v>
      </c>
      <c r="C5" t="n">
        <v>50</v>
      </c>
      <c r="D5" t="n">
        <v>55</v>
      </c>
      <c r="E5" s="4">
        <f>E4*(1+C5/100)</f>
        <v/>
      </c>
      <c r="F5" s="4">
        <f>F4*(1+B5/100)</f>
        <v/>
      </c>
      <c r="G5" s="4">
        <f>G4*(1+D5/100)</f>
        <v/>
      </c>
      <c r="H5" t="inlineStr">
        <is>
          <t>actual~</t>
        </is>
      </c>
    </row>
    <row r="6">
      <c r="A6" t="inlineStr">
        <is>
          <t>2026Q1</t>
        </is>
      </c>
      <c r="B6" t="n">
        <v>93</v>
      </c>
      <c r="C6" t="n">
        <v>95.5</v>
      </c>
      <c r="D6" t="n">
        <v>98</v>
      </c>
      <c r="E6" s="4">
        <f>E5*(1+C6/100)</f>
        <v/>
      </c>
      <c r="F6" s="4">
        <f>F5*(1+B6/100)</f>
        <v/>
      </c>
      <c r="G6" s="4">
        <f>G5*(1+D6/100)</f>
        <v/>
      </c>
      <c r="H6" t="inlineStr">
        <is>
          <t>actual</t>
        </is>
      </c>
    </row>
    <row r="7">
      <c r="A7" t="inlineStr">
        <is>
          <t>2026Q2</t>
        </is>
      </c>
      <c r="B7" t="n">
        <v>58</v>
      </c>
      <c r="C7" t="n">
        <v>60.5</v>
      </c>
      <c r="D7" t="n">
        <v>63</v>
      </c>
      <c r="E7" s="4">
        <f>E6*(1+C7/100)</f>
        <v/>
      </c>
      <c r="F7" s="4">
        <f>F6*(1+B7/100)</f>
        <v/>
      </c>
      <c r="G7" s="4">
        <f>G6*(1+D7/100)</f>
        <v/>
      </c>
      <c r="H7" t="inlineStr">
        <is>
          <t>forecast</t>
        </is>
      </c>
    </row>
    <row r="8">
      <c r="A8" t="inlineStr">
        <is>
          <t>2026Q3</t>
        </is>
      </c>
      <c r="B8" t="n">
        <v>13</v>
      </c>
      <c r="C8" t="n">
        <v>15.5</v>
      </c>
      <c r="D8" t="n">
        <v>18</v>
      </c>
      <c r="E8" s="4">
        <f>E7*(1+C8/100)</f>
        <v/>
      </c>
      <c r="F8" s="4">
        <f>F7*(1+B8/100)</f>
        <v/>
      </c>
      <c r="G8" s="4">
        <f>G7*(1+D8/100)</f>
        <v/>
      </c>
      <c r="H8" t="inlineStr">
        <is>
          <t>forecast</t>
        </is>
      </c>
    </row>
    <row r="9">
      <c r="A9" t="inlineStr">
        <is>
          <t>2026Q4</t>
        </is>
      </c>
      <c r="B9" t="n">
        <v>0</v>
      </c>
      <c r="C9" t="n">
        <v>2.5</v>
      </c>
      <c r="D9" t="n">
        <v>5</v>
      </c>
      <c r="E9" s="4">
        <f>E8*(1+C9/100)</f>
        <v/>
      </c>
      <c r="F9" s="4">
        <f>F8*(1+B9/100)</f>
        <v/>
      </c>
      <c r="G9" s="4">
        <f>G8*(1+D9/100)</f>
        <v/>
      </c>
      <c r="H9" t="inlineStr">
        <is>
          <t>placeholder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분기</t>
        </is>
      </c>
      <c r="B1" s="1" t="inlineStr">
        <is>
          <t>총 capex($B)</t>
        </is>
      </c>
      <c r="C1" s="1" t="inlineStr">
        <is>
          <t>메모리 지출($B)</t>
        </is>
      </c>
      <c r="D1" s="1" t="inlineStr">
        <is>
          <t>DRAM 지수</t>
        </is>
      </c>
      <c r="E1" s="1" t="inlineStr">
        <is>
          <t>실질 메모리($B)</t>
        </is>
      </c>
      <c r="F1" s="1" t="inlineStr">
        <is>
          <t>실질 총 capex($B)</t>
        </is>
      </c>
      <c r="G1" s="1" t="inlineStr">
        <is>
          <t>명목 지출 지수</t>
        </is>
      </c>
      <c r="H1" s="1" t="inlineStr">
        <is>
          <t>실질 구매량 지수</t>
        </is>
      </c>
      <c r="I1" s="1" t="inlineStr">
        <is>
          <t>명목 YoY%</t>
        </is>
      </c>
      <c r="J1" s="1" t="inlineStr">
        <is>
          <t>실질 YoY%</t>
        </is>
      </c>
      <c r="K1" s="1" t="inlineStr">
        <is>
          <t>착시 폭%p</t>
        </is>
      </c>
    </row>
    <row r="2">
      <c r="A2" t="inlineStr">
        <is>
          <t>2024Q1</t>
        </is>
      </c>
      <c r="B2" s="3">
        <f>Capex!F2</f>
        <v/>
      </c>
      <c r="C2" s="3">
        <f>B2*Params!$B$2/100</f>
        <v/>
      </c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t="inlineStr">
        <is>
          <t>2024Q2</t>
        </is>
      </c>
      <c r="B3" s="3">
        <f>Capex!F3</f>
        <v/>
      </c>
      <c r="C3" s="3">
        <f>B3*Params!$B$2/100</f>
        <v/>
      </c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t="inlineStr">
        <is>
          <t>2024Q3</t>
        </is>
      </c>
      <c r="B4" s="3">
        <f>Capex!F4</f>
        <v/>
      </c>
      <c r="C4" s="3">
        <f>B4*Params!$B$2/100</f>
        <v/>
      </c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t="inlineStr">
        <is>
          <t>2024Q4</t>
        </is>
      </c>
      <c r="B5" s="3">
        <f>Capex!F5</f>
        <v/>
      </c>
      <c r="C5" s="3">
        <f>B5*Params!$B$2/100</f>
        <v/>
      </c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t="inlineStr">
        <is>
          <t>2025Q1</t>
        </is>
      </c>
      <c r="B6" s="3">
        <f>Capex!F6</f>
        <v/>
      </c>
      <c r="C6" s="3">
        <f>B6*Params!$B$2/100</f>
        <v/>
      </c>
      <c r="D6" s="3">
        <f>DRAM!E2</f>
        <v/>
      </c>
      <c r="E6" s="3">
        <f>C6/(D6/100)</f>
        <v/>
      </c>
      <c r="F6" s="3">
        <f>B6-C6+E6</f>
        <v/>
      </c>
      <c r="G6" s="3">
        <f>C6/C$6*100</f>
        <v/>
      </c>
      <c r="H6" s="3">
        <f>E6/E$6*100</f>
        <v/>
      </c>
      <c r="I6" s="3">
        <f>(B6/B2-1)*100</f>
        <v/>
      </c>
      <c r="J6" s="3">
        <f>(IF(F6="",B6,F6)/IF(F2="",B2,F2)-1)*100</f>
        <v/>
      </c>
      <c r="K6" s="3">
        <f>I6-J6</f>
        <v/>
      </c>
    </row>
    <row r="7">
      <c r="A7" t="inlineStr">
        <is>
          <t>2025Q2</t>
        </is>
      </c>
      <c r="B7" s="3">
        <f>Capex!F7</f>
        <v/>
      </c>
      <c r="C7" s="3">
        <f>B7*Params!$B$2/100</f>
        <v/>
      </c>
      <c r="D7" s="3">
        <f>DRAM!E3</f>
        <v/>
      </c>
      <c r="E7" s="3">
        <f>C7/(D7/100)</f>
        <v/>
      </c>
      <c r="F7" s="3">
        <f>B7-C7+E7</f>
        <v/>
      </c>
      <c r="G7" s="3">
        <f>C7/C$6*100</f>
        <v/>
      </c>
      <c r="H7" s="3">
        <f>E7/E$6*100</f>
        <v/>
      </c>
      <c r="I7" s="3">
        <f>(B7/B3-1)*100</f>
        <v/>
      </c>
      <c r="J7" s="3">
        <f>(IF(F7="",B7,F7)/IF(F3="",B3,F3)-1)*100</f>
        <v/>
      </c>
      <c r="K7" s="3">
        <f>I7-J7</f>
        <v/>
      </c>
    </row>
    <row r="8">
      <c r="A8" t="inlineStr">
        <is>
          <t>2025Q3</t>
        </is>
      </c>
      <c r="B8" s="3">
        <f>Capex!F8</f>
        <v/>
      </c>
      <c r="C8" s="3">
        <f>B8*Params!$B$2/100</f>
        <v/>
      </c>
      <c r="D8" s="3">
        <f>DRAM!E4</f>
        <v/>
      </c>
      <c r="E8" s="3">
        <f>C8/(D8/100)</f>
        <v/>
      </c>
      <c r="F8" s="3">
        <f>B8-C8+E8</f>
        <v/>
      </c>
      <c r="G8" s="3">
        <f>C8/C$6*100</f>
        <v/>
      </c>
      <c r="H8" s="3">
        <f>E8/E$6*100</f>
        <v/>
      </c>
      <c r="I8" s="3">
        <f>(B8/B4-1)*100</f>
        <v/>
      </c>
      <c r="J8" s="3">
        <f>(IF(F8="",B8,F8)/IF(F4="",B4,F4)-1)*100</f>
        <v/>
      </c>
      <c r="K8" s="3">
        <f>I8-J8</f>
        <v/>
      </c>
    </row>
    <row r="9">
      <c r="A9" t="inlineStr">
        <is>
          <t>2025Q4</t>
        </is>
      </c>
      <c r="B9" s="3">
        <f>Capex!F9</f>
        <v/>
      </c>
      <c r="C9" s="3">
        <f>B9*Params!$B$2/100</f>
        <v/>
      </c>
      <c r="D9" s="3">
        <f>DRAM!E5</f>
        <v/>
      </c>
      <c r="E9" s="3">
        <f>C9/(D9/100)</f>
        <v/>
      </c>
      <c r="F9" s="3">
        <f>B9-C9+E9</f>
        <v/>
      </c>
      <c r="G9" s="3">
        <f>C9/C$6*100</f>
        <v/>
      </c>
      <c r="H9" s="3">
        <f>E9/E$6*100</f>
        <v/>
      </c>
      <c r="I9" s="3">
        <f>(B9/B5-1)*100</f>
        <v/>
      </c>
      <c r="J9" s="3">
        <f>(IF(F9="",B9,F9)/IF(F5="",B5,F5)-1)*100</f>
        <v/>
      </c>
      <c r="K9" s="3">
        <f>I9-J9</f>
        <v/>
      </c>
    </row>
    <row r="10">
      <c r="A10" t="inlineStr">
        <is>
          <t>2026Q1</t>
        </is>
      </c>
      <c r="B10" s="3">
        <f>Capex!F10</f>
        <v/>
      </c>
      <c r="C10" s="3">
        <f>B10*Params!$B$2/100</f>
        <v/>
      </c>
      <c r="D10" s="3">
        <f>DRAM!E6</f>
        <v/>
      </c>
      <c r="E10" s="3">
        <f>C10/(D10/100)</f>
        <v/>
      </c>
      <c r="F10" s="3">
        <f>B10-C10+E10</f>
        <v/>
      </c>
      <c r="G10" s="3">
        <f>C10/C$6*100</f>
        <v/>
      </c>
      <c r="H10" s="3">
        <f>E10/E$6*100</f>
        <v/>
      </c>
      <c r="I10" s="3">
        <f>(B10/B6-1)*100</f>
        <v/>
      </c>
      <c r="J10" s="3">
        <f>(IF(F10="",B10,F10)/IF(F6="",B6,F6)-1)*100</f>
        <v/>
      </c>
      <c r="K10" s="3">
        <f>I10-J10</f>
        <v/>
      </c>
    </row>
    <row r="11">
      <c r="A11" t="inlineStr">
        <is>
          <t>2026Q2</t>
        </is>
      </c>
      <c r="B11" s="3">
        <f>Capex!F11</f>
        <v/>
      </c>
      <c r="C11" s="3">
        <f>B11*Params!$B$2/100</f>
        <v/>
      </c>
      <c r="D11" s="3">
        <f>DRAM!E7</f>
        <v/>
      </c>
      <c r="E11" s="3">
        <f>C11/(D11/100)</f>
        <v/>
      </c>
      <c r="F11" s="3">
        <f>B11-C11+E11</f>
        <v/>
      </c>
      <c r="G11" s="3">
        <f>C11/C$6*100</f>
        <v/>
      </c>
      <c r="H11" s="3">
        <f>E11/E$6*100</f>
        <v/>
      </c>
      <c r="I11" s="3">
        <f>(B11/B7-1)*100</f>
        <v/>
      </c>
      <c r="J11" s="3">
        <f>(IF(F11="",B11,F11)/IF(F7="",B7,F7)-1)*100</f>
        <v/>
      </c>
      <c r="K11" s="3">
        <f>I11-J11</f>
        <v/>
      </c>
    </row>
    <row r="12">
      <c r="A12" t="inlineStr">
        <is>
          <t>2026Q3</t>
        </is>
      </c>
      <c r="B12" s="3">
        <f>Capex!F12</f>
        <v/>
      </c>
      <c r="C12" s="3">
        <f>B12*Params!$B$2/100</f>
        <v/>
      </c>
      <c r="D12" s="3">
        <f>DRAM!E8</f>
        <v/>
      </c>
      <c r="E12" s="3">
        <f>C12/(D12/100)</f>
        <v/>
      </c>
      <c r="F12" s="3">
        <f>B12-C12+E12</f>
        <v/>
      </c>
      <c r="G12" s="3">
        <f>C12/C$6*100</f>
        <v/>
      </c>
      <c r="H12" s="3">
        <f>E12/E$6*100</f>
        <v/>
      </c>
      <c r="I12" s="3">
        <f>(B12/B8-1)*100</f>
        <v/>
      </c>
      <c r="J12" s="3">
        <f>(IF(F12="",B12,F12)/IF(F8="",B8,F8)-1)*100</f>
        <v/>
      </c>
      <c r="K12" s="3">
        <f>I12-J12</f>
        <v/>
      </c>
    </row>
    <row r="13">
      <c r="A13" t="inlineStr">
        <is>
          <t>2026Q4</t>
        </is>
      </c>
      <c r="B13" s="3">
        <f>Capex!F13</f>
        <v/>
      </c>
      <c r="C13" s="3">
        <f>B13*Params!$B$2/100</f>
        <v/>
      </c>
      <c r="D13" s="3">
        <f>DRAM!E9</f>
        <v/>
      </c>
      <c r="E13" s="3">
        <f>C13/(D13/100)</f>
        <v/>
      </c>
      <c r="F13" s="3">
        <f>B13-C13+E13</f>
        <v/>
      </c>
      <c r="G13" s="3">
        <f>C13/C$6*100</f>
        <v/>
      </c>
      <c r="H13" s="3">
        <f>E13/E$6*100</f>
        <v/>
      </c>
      <c r="I13" s="3">
        <f>(B13/B9-1)*100</f>
        <v/>
      </c>
      <c r="J13" s="3">
        <f>(IF(F13="",B13,F13)/IF(F9="",B9,F9)-1)*100</f>
        <v/>
      </c>
      <c r="K13" s="3">
        <f>I13-J13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월</t>
        </is>
      </c>
      <c r="B1" s="1" t="inlineStr">
        <is>
          <t>DFII10 (%)</t>
        </is>
      </c>
      <c r="C1" s="1" t="inlineStr">
        <is>
          <t>상태</t>
        </is>
      </c>
    </row>
    <row r="2">
      <c r="A2" t="inlineStr">
        <is>
          <t>2024-01</t>
        </is>
      </c>
      <c r="B2" t="n">
        <v>1.73</v>
      </c>
      <c r="C2" t="inlineStr">
        <is>
          <t>actual~</t>
        </is>
      </c>
    </row>
    <row r="3">
      <c r="A3" t="inlineStr">
        <is>
          <t>2024-02</t>
        </is>
      </c>
      <c r="B3" t="n">
        <v>1.88</v>
      </c>
      <c r="C3" t="inlineStr">
        <is>
          <t>actual~</t>
        </is>
      </c>
    </row>
    <row r="4">
      <c r="A4" t="inlineStr">
        <is>
          <t>2024-03</t>
        </is>
      </c>
      <c r="B4" t="n">
        <v>1.87</v>
      </c>
      <c r="C4" t="inlineStr">
        <is>
          <t>actual~</t>
        </is>
      </c>
    </row>
    <row r="5">
      <c r="A5" t="inlineStr">
        <is>
          <t>2024-04</t>
        </is>
      </c>
      <c r="B5" t="n">
        <v>2.2</v>
      </c>
      <c r="C5" t="inlineStr">
        <is>
          <t>actual~</t>
        </is>
      </c>
    </row>
    <row r="6">
      <c r="A6" t="inlineStr">
        <is>
          <t>2024-05</t>
        </is>
      </c>
      <c r="B6" t="n">
        <v>2.12</v>
      </c>
      <c r="C6" t="inlineStr">
        <is>
          <t>actual~</t>
        </is>
      </c>
    </row>
    <row r="7">
      <c r="A7" t="inlineStr">
        <is>
          <t>2024-06</t>
        </is>
      </c>
      <c r="B7" t="n">
        <v>2.09</v>
      </c>
      <c r="C7" t="inlineStr">
        <is>
          <t>actual~</t>
        </is>
      </c>
    </row>
    <row r="8">
      <c r="A8" t="inlineStr">
        <is>
          <t>2024-07</t>
        </is>
      </c>
      <c r="B8" t="n">
        <v>1.83</v>
      </c>
      <c r="C8" t="inlineStr">
        <is>
          <t>actual~</t>
        </is>
      </c>
    </row>
    <row r="9">
      <c r="A9" t="inlineStr">
        <is>
          <t>2024-08</t>
        </is>
      </c>
      <c r="B9" t="n">
        <v>1.75</v>
      </c>
      <c r="C9" t="inlineStr">
        <is>
          <t>actual~</t>
        </is>
      </c>
    </row>
    <row r="10">
      <c r="A10" t="inlineStr">
        <is>
          <t>2024-09</t>
        </is>
      </c>
      <c r="B10" t="n">
        <v>1.59</v>
      </c>
      <c r="C10" t="inlineStr">
        <is>
          <t>actual~</t>
        </is>
      </c>
    </row>
    <row r="11">
      <c r="A11" t="inlineStr">
        <is>
          <t>2024-10</t>
        </is>
      </c>
      <c r="B11" t="n">
        <v>1.94</v>
      </c>
      <c r="C11" t="inlineStr">
        <is>
          <t>actual~</t>
        </is>
      </c>
    </row>
    <row r="12">
      <c r="A12" t="inlineStr">
        <is>
          <t>2024-11</t>
        </is>
      </c>
      <c r="B12" t="n">
        <v>1.94</v>
      </c>
      <c r="C12" t="inlineStr">
        <is>
          <t>actual~</t>
        </is>
      </c>
    </row>
    <row r="13">
      <c r="A13" t="inlineStr">
        <is>
          <t>2024-12</t>
        </is>
      </c>
      <c r="B13" t="n">
        <v>2.24</v>
      </c>
      <c r="C13" t="inlineStr">
        <is>
          <t>actual~</t>
        </is>
      </c>
    </row>
    <row r="14">
      <c r="A14" t="inlineStr">
        <is>
          <t>2025-01</t>
        </is>
      </c>
      <c r="B14" t="n">
        <v>2.09</v>
      </c>
      <c r="C14" t="inlineStr">
        <is>
          <t>actual~</t>
        </is>
      </c>
    </row>
    <row r="15">
      <c r="A15" t="inlineStr">
        <is>
          <t>2025-02</t>
        </is>
      </c>
      <c r="B15" t="n">
        <v>1.94</v>
      </c>
      <c r="C15" t="inlineStr">
        <is>
          <t>actual~</t>
        </is>
      </c>
    </row>
    <row r="16">
      <c r="A16" t="inlineStr">
        <is>
          <t>2025-03</t>
        </is>
      </c>
      <c r="B16" t="n">
        <v>1.85</v>
      </c>
      <c r="C16" t="inlineStr">
        <is>
          <t>actual~</t>
        </is>
      </c>
    </row>
    <row r="17">
      <c r="A17" t="inlineStr">
        <is>
          <t>2025-04</t>
        </is>
      </c>
      <c r="B17" t="n">
        <v>2.02</v>
      </c>
      <c r="C17" t="inlineStr">
        <is>
          <t>actual~</t>
        </is>
      </c>
    </row>
    <row r="18">
      <c r="A18" t="inlineStr">
        <is>
          <t>2025-05</t>
        </is>
      </c>
      <c r="B18" t="n">
        <v>2.13</v>
      </c>
      <c r="C18" t="inlineStr">
        <is>
          <t>actual~</t>
        </is>
      </c>
    </row>
    <row r="19">
      <c r="A19" t="inlineStr">
        <is>
          <t>2025-06</t>
        </is>
      </c>
      <c r="B19" t="n">
        <v>1.99</v>
      </c>
      <c r="C19" t="inlineStr">
        <is>
          <t>actual~</t>
        </is>
      </c>
    </row>
    <row r="20">
      <c r="A20" t="inlineStr">
        <is>
          <t>2025-07</t>
        </is>
      </c>
      <c r="B20" t="n">
        <v>1.95</v>
      </c>
      <c r="C20" t="inlineStr">
        <is>
          <t>actual~</t>
        </is>
      </c>
    </row>
    <row r="21">
      <c r="A21" t="inlineStr">
        <is>
          <t>2025-08</t>
        </is>
      </c>
      <c r="B21" t="n">
        <v>1.79</v>
      </c>
      <c r="C21" t="inlineStr">
        <is>
          <t>actual~</t>
        </is>
      </c>
    </row>
    <row r="22">
      <c r="A22" t="inlineStr">
        <is>
          <t>2025-09</t>
        </is>
      </c>
      <c r="B22" t="n">
        <v>1.72</v>
      </c>
      <c r="C22" t="inlineStr">
        <is>
          <t>actual~</t>
        </is>
      </c>
    </row>
    <row r="23">
      <c r="A23" t="inlineStr">
        <is>
          <t>2025-10</t>
        </is>
      </c>
      <c r="B23" t="n">
        <v>1.71</v>
      </c>
      <c r="C23" t="inlineStr">
        <is>
          <t>actual~</t>
        </is>
      </c>
    </row>
    <row r="24">
      <c r="A24" t="inlineStr">
        <is>
          <t>2025-11</t>
        </is>
      </c>
      <c r="B24" t="n">
        <v>1.76</v>
      </c>
      <c r="C24" t="inlineStr">
        <is>
          <t>approx</t>
        </is>
      </c>
    </row>
    <row r="25">
      <c r="A25" t="inlineStr">
        <is>
          <t>2025-12</t>
        </is>
      </c>
      <c r="B25" t="n">
        <v>1.74</v>
      </c>
      <c r="C25" t="inlineStr">
        <is>
          <t>approx</t>
        </is>
      </c>
    </row>
    <row r="26">
      <c r="A26" t="inlineStr">
        <is>
          <t>2026-01</t>
        </is>
      </c>
      <c r="B26" t="n">
        <v>1.8</v>
      </c>
      <c r="C26" t="inlineStr">
        <is>
          <t>approx</t>
        </is>
      </c>
    </row>
    <row r="27">
      <c r="A27" t="inlineStr">
        <is>
          <t>2026-02</t>
        </is>
      </c>
      <c r="C27" t="inlineStr">
        <is>
          <t>fill_me</t>
        </is>
      </c>
    </row>
    <row r="28">
      <c r="A28" t="inlineStr">
        <is>
          <t>2026-03</t>
        </is>
      </c>
      <c r="C28" t="inlineStr">
        <is>
          <t>fill_me</t>
        </is>
      </c>
    </row>
    <row r="29">
      <c r="A29" t="inlineStr">
        <is>
          <t>2026-04</t>
        </is>
      </c>
      <c r="C29" t="inlineStr">
        <is>
          <t>fill_me</t>
        </is>
      </c>
    </row>
    <row r="30">
      <c r="A30" t="inlineStr">
        <is>
          <t>2026-05</t>
        </is>
      </c>
      <c r="C30" t="inlineStr">
        <is>
          <t>fill_me</t>
        </is>
      </c>
    </row>
    <row r="31">
      <c r="A31" t="inlineStr">
        <is>
          <t>2026-06</t>
        </is>
      </c>
      <c r="C31" t="inlineStr">
        <is>
          <t>fill_me</t>
        </is>
      </c>
    </row>
    <row r="32">
      <c r="A32" t="inlineStr">
        <is>
          <t>2026-07</t>
        </is>
      </c>
      <c r="C32" t="inlineStr">
        <is>
          <t>fill_me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메모리 착시 트래커 — Params!B2(비중)를 바꾸면 Derived 기반 차트가 재계산됩니다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2026-07-16T00:06:09Z</dcterms:created>
  <dcterms:modified xsi:type="dcterms:W3CDTF">2026-07-16T00:06:09Z</dcterms:modified>
</cp:coreProperties>
</file>